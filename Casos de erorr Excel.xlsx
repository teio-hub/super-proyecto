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lejo\OneDrive\Escritorio\"/>
    </mc:Choice>
  </mc:AlternateContent>
  <xr:revisionPtr revIDLastSave="0" documentId="13_ncr:1_{DB60E839-9CC5-4BF4-8A59-0877D30F820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Casos Ahorro Program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1" l="1"/>
  <c r="I11" i="1" s="1"/>
  <c r="I10" i="1"/>
  <c r="H10" i="1"/>
  <c r="J11" i="1"/>
  <c r="J10" i="1"/>
  <c r="J9" i="1"/>
  <c r="H9" i="1"/>
  <c r="I9" i="1" s="1"/>
  <c r="J8" i="1"/>
  <c r="H8" i="1"/>
  <c r="J6" i="1"/>
  <c r="H6" i="1"/>
  <c r="I6" i="1" s="1"/>
  <c r="J5" i="1"/>
  <c r="H5" i="1"/>
  <c r="I5" i="1" s="1"/>
  <c r="J4" i="1"/>
  <c r="H4" i="1"/>
  <c r="I4" i="1" s="1"/>
</calcChain>
</file>

<file path=xl/sharedStrings.xml><?xml version="1.0" encoding="utf-8"?>
<sst xmlns="http://schemas.openxmlformats.org/spreadsheetml/2006/main" count="37" uniqueCount="29">
  <si>
    <t>ENTRADAS</t>
  </si>
  <si>
    <t>SALIDAS</t>
  </si>
  <si>
    <t>Casos Normales</t>
  </si>
  <si>
    <t>Meta de Ahorro</t>
  </si>
  <si>
    <t>Tasa de Interés Mensual</t>
  </si>
  <si>
    <t>Plazo en meses</t>
  </si>
  <si>
    <t>Abonos Extras</t>
  </si>
  <si>
    <t>Mes del abono</t>
  </si>
  <si>
    <t>Cuota Mensual</t>
  </si>
  <si>
    <t>Total Intereses</t>
  </si>
  <si>
    <t>Total Ahorrado</t>
  </si>
  <si>
    <t>Caso Normal</t>
  </si>
  <si>
    <t>Ninguno</t>
  </si>
  <si>
    <t>Caso Normal 2</t>
  </si>
  <si>
    <t>Caso Normal 3</t>
  </si>
  <si>
    <t>Casos Extraordinarios</t>
  </si>
  <si>
    <t>Tasa cero</t>
  </si>
  <si>
    <t>Plazo de 1 mes</t>
  </si>
  <si>
    <t>Con abono extra</t>
  </si>
  <si>
    <t>Casos de Error</t>
  </si>
  <si>
    <t>Error Meta Cero</t>
  </si>
  <si>
    <t>ERROR: La meta debe ser mayor que cero</t>
  </si>
  <si>
    <t>Error Plazo Cero</t>
  </si>
  <si>
    <t>ERROR: El plazo debe ser al menos 1 mes</t>
  </si>
  <si>
    <t>Error Tasa Negativa</t>
  </si>
  <si>
    <t>ERROR: La tasa de interés no puede ser negativa</t>
  </si>
  <si>
    <t>Error plazo negativo</t>
  </si>
  <si>
    <t>ERROR: El plazo no puede ser negativo</t>
  </si>
  <si>
    <t>Dos abonos extras (de 2.500.000)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</si>
</sst>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&quot;$ &quot;#,##0"/>
    <numFmt numFmtId="165" formatCode="_(\$* #,##0.00_);_(\$* \(#,##0.00\);_(\$* \-??_);_(@_)"/>
    <numFmt numFmtId="166" formatCode="&quot;$ &quot;#,##0.00"/>
    <numFmt numFmtId="167" formatCode="\$#,##0.00"/>
    <numFmt numFmtId="168" formatCode="&quot;$ &quot;#,##0;[Red]&quot;-$ &quot;#,##0"/>
  </numFmts>
  <fonts count="5" x14ac:knownFonts="1">
    <font>
      <sz val="11"/>
      <color theme="1"/>
      <name val="Calibri"/>
      <family val="2"/>
      <charset val="1"/>
    </font>
    <font>
      <b/>
      <sz val="12"/>
      <name val="Calibri"/>
      <charset val="1"/>
    </font>
    <font>
      <b/>
      <sz val="11"/>
      <name val="Calibri"/>
      <family val="2"/>
      <charset val="1"/>
    </font>
    <font>
      <b/>
      <sz val="11"/>
      <name val="Calibri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8" tint="0.79989013336588644"/>
        <bgColor rgb="FFCCFFFF"/>
      </patternFill>
    </fill>
    <fill>
      <patternFill patternType="solid">
        <fgColor rgb="FFDBFFB7"/>
        <bgColor rgb="FFFFFFC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4" fillId="0" borderId="0"/>
    <xf numFmtId="9" fontId="4" fillId="0" borderId="0"/>
  </cellStyleXfs>
  <cellXfs count="30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0" fontId="0" fillId="0" borderId="0" xfId="1" applyNumberFormat="1" applyFont="1" applyAlignment="1">
      <alignment wrapText="1"/>
    </xf>
    <xf numFmtId="164" fontId="0" fillId="0" borderId="0" xfId="0" applyNumberFormat="1"/>
    <xf numFmtId="164" fontId="0" fillId="0" borderId="0" xfId="1" applyNumberFormat="1" applyFont="1"/>
    <xf numFmtId="0" fontId="2" fillId="0" borderId="0" xfId="0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0" fontId="3" fillId="0" borderId="0" xfId="1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3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0" fontId="0" fillId="0" borderId="0" xfId="2" applyNumberFormat="1" applyFont="1" applyAlignment="1">
      <alignment horizontal="center" vertical="center" wrapText="1"/>
    </xf>
    <xf numFmtId="166" fontId="0" fillId="0" borderId="0" xfId="0" applyNumberFormat="1" applyAlignment="1">
      <alignment horizontal="center" vertical="center"/>
    </xf>
    <xf numFmtId="164" fontId="0" fillId="0" borderId="0" xfId="1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 wrapText="1"/>
    </xf>
    <xf numFmtId="10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68" fontId="0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5" fontId="4" fillId="0" borderId="0" xfId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 wrapText="1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BFFB7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16"/>
  <sheetViews>
    <sheetView tabSelected="1" zoomScaleNormal="100" workbookViewId="0">
      <pane ySplit="1" topLeftCell="A2" activePane="bottomLeft" state="frozen"/>
      <selection pane="bottomLeft" activeCell="G11" sqref="G11"/>
    </sheetView>
  </sheetViews>
  <sheetFormatPr baseColWidth="10" defaultColWidth="9.109375" defaultRowHeight="14.4" x14ac:dyDescent="0.3"/>
  <cols>
    <col min="1" max="1" width="2" customWidth="1"/>
    <col min="2" max="2" width="29.6640625" style="1" customWidth="1"/>
    <col min="3" max="3" width="16" style="2" customWidth="1"/>
    <col min="4" max="4" width="22" style="3" customWidth="1"/>
    <col min="5" max="5" width="16" customWidth="1"/>
    <col min="6" max="7" width="35.109375" style="4" customWidth="1"/>
    <col min="8" max="8" width="45" customWidth="1"/>
    <col min="9" max="9" width="25.5546875" style="5" customWidth="1"/>
    <col min="10" max="10" width="20.88671875" style="5" customWidth="1"/>
    <col min="11" max="11" width="33.109375" customWidth="1"/>
    <col min="12" max="12" width="50" customWidth="1"/>
  </cols>
  <sheetData>
    <row r="2" spans="1:11" ht="27" customHeight="1" x14ac:dyDescent="0.3">
      <c r="B2" s="27" t="s">
        <v>0</v>
      </c>
      <c r="C2" s="27"/>
      <c r="D2" s="27"/>
      <c r="E2" s="27"/>
      <c r="F2" s="27"/>
      <c r="G2" s="27"/>
      <c r="H2" s="28" t="s">
        <v>1</v>
      </c>
      <c r="I2" s="28"/>
      <c r="J2" s="28"/>
      <c r="K2" s="28"/>
    </row>
    <row r="3" spans="1:11" ht="30" customHeight="1" x14ac:dyDescent="0.3">
      <c r="B3" s="6" t="s">
        <v>2</v>
      </c>
      <c r="C3" s="7" t="s">
        <v>3</v>
      </c>
      <c r="D3" s="8" t="s">
        <v>4</v>
      </c>
      <c r="E3" s="9" t="s">
        <v>5</v>
      </c>
      <c r="F3" s="7" t="s">
        <v>6</v>
      </c>
      <c r="G3" s="7" t="s">
        <v>7</v>
      </c>
      <c r="H3" s="9" t="s">
        <v>8</v>
      </c>
      <c r="I3" s="10" t="s">
        <v>9</v>
      </c>
      <c r="J3" s="10" t="s">
        <v>10</v>
      </c>
    </row>
    <row r="4" spans="1:11" ht="32.25" customHeight="1" x14ac:dyDescent="0.3">
      <c r="A4" s="11"/>
      <c r="B4" s="12" t="s">
        <v>11</v>
      </c>
      <c r="C4" s="13">
        <v>10000000</v>
      </c>
      <c r="D4" s="14">
        <v>0.01</v>
      </c>
      <c r="E4" s="12">
        <v>24</v>
      </c>
      <c r="F4" s="13">
        <v>0</v>
      </c>
      <c r="G4" s="13" t="s">
        <v>12</v>
      </c>
      <c r="H4" s="15">
        <f>PMT(0.01,24,0,10000000)*-1</f>
        <v>370734.72223264701</v>
      </c>
      <c r="I4" s="16">
        <f>C4-H4*E4</f>
        <v>1102366.6664164718</v>
      </c>
      <c r="J4" s="16">
        <f>C4</f>
        <v>10000000</v>
      </c>
      <c r="K4" s="17"/>
    </row>
    <row r="5" spans="1:11" ht="38.25" customHeight="1" x14ac:dyDescent="0.3">
      <c r="A5" s="11"/>
      <c r="B5" s="12" t="s">
        <v>13</v>
      </c>
      <c r="C5" s="13">
        <v>5000000</v>
      </c>
      <c r="D5" s="18">
        <v>7.4999999999999997E-3</v>
      </c>
      <c r="E5" s="19">
        <v>12</v>
      </c>
      <c r="F5" s="13">
        <v>0</v>
      </c>
      <c r="G5" s="13" t="s">
        <v>12</v>
      </c>
      <c r="H5" s="15">
        <f>PMT(D5,E5,0,C5)*-1</f>
        <v>399757.38384960714</v>
      </c>
      <c r="I5" s="16">
        <f>C5-H5*E5</f>
        <v>202911.39380471408</v>
      </c>
      <c r="J5" s="16">
        <f>C5</f>
        <v>5000000</v>
      </c>
      <c r="K5" s="12"/>
    </row>
    <row r="6" spans="1:11" ht="29.25" customHeight="1" x14ac:dyDescent="0.3">
      <c r="A6" s="11"/>
      <c r="B6" s="12" t="s">
        <v>14</v>
      </c>
      <c r="C6" s="13">
        <v>20000000</v>
      </c>
      <c r="D6" s="18">
        <v>8.3000000000000001E-3</v>
      </c>
      <c r="E6" s="19">
        <v>36</v>
      </c>
      <c r="F6" s="13">
        <v>0</v>
      </c>
      <c r="G6" s="13" t="s">
        <v>12</v>
      </c>
      <c r="H6" s="15">
        <f>PMT(D6,E6,0,C6)*-1</f>
        <v>478968.21366591897</v>
      </c>
      <c r="I6" s="16">
        <f>C6-H6*E6</f>
        <v>2757144.3080269173</v>
      </c>
      <c r="J6" s="16">
        <f>C6</f>
        <v>20000000</v>
      </c>
      <c r="K6" s="12"/>
    </row>
    <row r="7" spans="1:11" ht="28.5" customHeight="1" x14ac:dyDescent="0.3">
      <c r="A7" s="11"/>
      <c r="B7" s="9" t="s">
        <v>15</v>
      </c>
      <c r="C7" s="13"/>
      <c r="D7" s="18"/>
      <c r="E7" s="19"/>
      <c r="F7" s="13"/>
      <c r="G7" s="13"/>
      <c r="H7" s="15"/>
      <c r="I7" s="16"/>
      <c r="J7" s="16"/>
      <c r="K7" s="12"/>
    </row>
    <row r="8" spans="1:11" ht="29.25" customHeight="1" x14ac:dyDescent="0.3">
      <c r="A8" s="11"/>
      <c r="B8" s="12" t="s">
        <v>16</v>
      </c>
      <c r="C8" s="13">
        <v>10000000</v>
      </c>
      <c r="D8" s="18">
        <v>0</v>
      </c>
      <c r="E8" s="19">
        <v>24</v>
      </c>
      <c r="F8" s="13">
        <v>0</v>
      </c>
      <c r="G8" s="13" t="s">
        <v>12</v>
      </c>
      <c r="H8" s="15">
        <f>PMT(D8,E8,0,C8)*-1</f>
        <v>416666.66666666669</v>
      </c>
      <c r="I8" s="16">
        <v>0</v>
      </c>
      <c r="J8" s="16">
        <f>C8</f>
        <v>10000000</v>
      </c>
      <c r="K8" s="12"/>
    </row>
    <row r="9" spans="1:11" ht="25.5" customHeight="1" x14ac:dyDescent="0.3">
      <c r="A9" s="11"/>
      <c r="B9" s="12" t="s">
        <v>17</v>
      </c>
      <c r="C9" s="13">
        <v>500000</v>
      </c>
      <c r="D9" s="18">
        <v>0.01</v>
      </c>
      <c r="E9" s="19">
        <v>1</v>
      </c>
      <c r="F9" s="13">
        <v>0</v>
      </c>
      <c r="G9" s="13" t="s">
        <v>12</v>
      </c>
      <c r="H9" s="15">
        <f>PMT(D9,E9,0,C9)*-1</f>
        <v>499999.99999999994</v>
      </c>
      <c r="I9" s="16">
        <f>C9-H9*E9</f>
        <v>0</v>
      </c>
      <c r="J9" s="16">
        <f>C9</f>
        <v>500000</v>
      </c>
      <c r="K9" s="12"/>
    </row>
    <row r="10" spans="1:11" ht="39.75" customHeight="1" x14ac:dyDescent="0.3">
      <c r="A10" s="11"/>
      <c r="B10" s="12" t="s">
        <v>18</v>
      </c>
      <c r="C10" s="13">
        <v>10000000</v>
      </c>
      <c r="D10" s="18">
        <v>0.01</v>
      </c>
      <c r="E10" s="19">
        <v>24</v>
      </c>
      <c r="F10" s="13">
        <v>2000000</v>
      </c>
      <c r="G10" s="20">
        <v>24</v>
      </c>
      <c r="H10" s="15">
        <f>PMT(D10,E10,0,C10-F10)*-1</f>
        <v>296587.77778611763</v>
      </c>
      <c r="I10" s="26">
        <f>(C10-F10)-H10*E10</f>
        <v>881893.3331331769</v>
      </c>
      <c r="J10" s="21">
        <f>C10</f>
        <v>10000000</v>
      </c>
      <c r="K10" s="12"/>
    </row>
    <row r="11" spans="1:11" ht="46.5" customHeight="1" x14ac:dyDescent="0.3">
      <c r="A11" s="11"/>
      <c r="B11" s="12" t="s">
        <v>28</v>
      </c>
      <c r="C11" s="13">
        <v>20000000</v>
      </c>
      <c r="D11" s="18">
        <v>8.3000000000000001E-3</v>
      </c>
      <c r="E11" s="19">
        <v>36</v>
      </c>
      <c r="F11" s="13">
        <v>2500000</v>
      </c>
      <c r="G11" s="29">
        <v>36</v>
      </c>
      <c r="H11" s="15">
        <f>PMT(D11,E11,0,C11-F11*2)*-1</f>
        <v>359226.1602494393</v>
      </c>
      <c r="I11" s="22">
        <f>(C11-F11*2)-H11*E11</f>
        <v>2067858.2310201861</v>
      </c>
      <c r="J11" s="21">
        <f>C11</f>
        <v>20000000</v>
      </c>
      <c r="K11" s="12"/>
    </row>
    <row r="12" spans="1:11" ht="28.5" customHeight="1" x14ac:dyDescent="0.3">
      <c r="A12" s="11"/>
      <c r="B12" s="9" t="s">
        <v>19</v>
      </c>
      <c r="C12" s="13"/>
      <c r="D12" s="18"/>
      <c r="E12" s="19"/>
      <c r="F12" s="13"/>
      <c r="G12" s="13"/>
      <c r="H12" s="19"/>
      <c r="I12" s="16"/>
      <c r="J12" s="16"/>
      <c r="K12" s="12"/>
    </row>
    <row r="13" spans="1:11" ht="30" customHeight="1" x14ac:dyDescent="0.3">
      <c r="A13" s="11"/>
      <c r="B13" s="12" t="s">
        <v>20</v>
      </c>
      <c r="C13" s="13">
        <v>0</v>
      </c>
      <c r="D13" s="18">
        <v>0.01</v>
      </c>
      <c r="E13" s="19">
        <v>24</v>
      </c>
      <c r="F13" s="13" t="s">
        <v>12</v>
      </c>
      <c r="G13" s="13" t="s">
        <v>12</v>
      </c>
      <c r="H13" s="19" t="s">
        <v>21</v>
      </c>
      <c r="I13" s="16"/>
      <c r="J13" s="16"/>
      <c r="K13" s="12"/>
    </row>
    <row r="14" spans="1:11" ht="25.5" customHeight="1" x14ac:dyDescent="0.3">
      <c r="A14" s="11"/>
      <c r="B14" s="12" t="s">
        <v>22</v>
      </c>
      <c r="C14" s="13">
        <v>10000000</v>
      </c>
      <c r="D14" s="18">
        <v>0.01</v>
      </c>
      <c r="E14" s="19">
        <v>0</v>
      </c>
      <c r="F14" s="13" t="s">
        <v>12</v>
      </c>
      <c r="G14" s="13" t="s">
        <v>12</v>
      </c>
      <c r="H14" s="19" t="s">
        <v>23</v>
      </c>
      <c r="I14" s="16"/>
      <c r="J14" s="16"/>
      <c r="K14" s="12"/>
    </row>
    <row r="15" spans="1:11" ht="30.75" customHeight="1" x14ac:dyDescent="0.3">
      <c r="A15" s="11"/>
      <c r="B15" s="12" t="s">
        <v>24</v>
      </c>
      <c r="C15" s="13">
        <v>10000000</v>
      </c>
      <c r="D15" s="18">
        <v>-0.02</v>
      </c>
      <c r="E15" s="19">
        <v>24</v>
      </c>
      <c r="F15" s="13">
        <v>1000000</v>
      </c>
      <c r="G15" s="12">
        <v>9</v>
      </c>
      <c r="H15" s="12" t="s">
        <v>25</v>
      </c>
      <c r="I15" s="16"/>
      <c r="J15" s="16"/>
      <c r="K15" s="12"/>
    </row>
    <row r="16" spans="1:11" x14ac:dyDescent="0.3">
      <c r="B16" s="23" t="s">
        <v>26</v>
      </c>
      <c r="C16" s="13">
        <v>20000000</v>
      </c>
      <c r="D16" s="18">
        <v>0.01</v>
      </c>
      <c r="E16" s="19">
        <v>-12</v>
      </c>
      <c r="F16" s="24">
        <v>500000</v>
      </c>
      <c r="G16" s="19">
        <v>2</v>
      </c>
      <c r="H16" s="25" t="s">
        <v>27</v>
      </c>
    </row>
  </sheetData>
  <mergeCells count="2">
    <mergeCell ref="B2:G2"/>
    <mergeCell ref="H2:K2"/>
  </mergeCells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Casos Ahorro Programado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itzteiolol@gmail.com</cp:lastModifiedBy>
  <cp:revision>0</cp:revision>
  <dcterms:created xsi:type="dcterms:W3CDTF">2026-02-11T22:37:26Z</dcterms:created>
  <dcterms:modified xsi:type="dcterms:W3CDTF">2026-02-27T01:55:36Z</dcterms:modified>
  <dc:language>en-US</dc:language>
</cp:coreProperties>
</file>