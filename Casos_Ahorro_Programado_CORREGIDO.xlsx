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eaza\Downloads\"/>
    </mc:Choice>
  </mc:AlternateContent>
  <xr:revisionPtr revIDLastSave="0" documentId="13_ncr:1_{0698447A-EE8C-4F5D-B1FC-2712C659BA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sos Ahorro Programa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4" i="1"/>
  <c r="H5" i="1"/>
  <c r="H11" i="1"/>
  <c r="G11" i="1"/>
  <c r="G4" i="1"/>
  <c r="H4" i="1" s="1"/>
  <c r="G10" i="1"/>
  <c r="H10" i="1" s="1"/>
  <c r="G6" i="1"/>
  <c r="H6" i="1" s="1"/>
  <c r="G8" i="1"/>
  <c r="G9" i="1"/>
  <c r="H9" i="1" s="1"/>
  <c r="G5" i="1"/>
</calcChain>
</file>

<file path=xl/sharedStrings.xml><?xml version="1.0" encoding="utf-8"?>
<sst xmlns="http://schemas.openxmlformats.org/spreadsheetml/2006/main" count="29" uniqueCount="28">
  <si>
    <t>ENTRADAS</t>
  </si>
  <si>
    <t>SALIDAS</t>
  </si>
  <si>
    <t>Casos Normales</t>
  </si>
  <si>
    <t>Meta de Ahorro</t>
  </si>
  <si>
    <t>Tasa de Interés Mensual</t>
  </si>
  <si>
    <t>Plazo en meses</t>
  </si>
  <si>
    <t>Abonos Extras</t>
  </si>
  <si>
    <t>Cuota Mensual</t>
  </si>
  <si>
    <t>Total Intereses</t>
  </si>
  <si>
    <t>Total Ahorrado</t>
  </si>
  <si>
    <t>Caso Normal</t>
  </si>
  <si>
    <t>Ninguno</t>
  </si>
  <si>
    <t>Caso Normal 2</t>
  </si>
  <si>
    <t>Caso Normal 3</t>
  </si>
  <si>
    <t>Casos Extraordinarios</t>
  </si>
  <si>
    <t>Tasa cero</t>
  </si>
  <si>
    <t>Plazo de 1 mes</t>
  </si>
  <si>
    <t>Con abono extra</t>
  </si>
  <si>
    <t>Casos de Error</t>
  </si>
  <si>
    <t>Error Meta Cero</t>
  </si>
  <si>
    <t>ERROR: La meta debe ser mayor que cero</t>
  </si>
  <si>
    <t>Error Plazo Cero</t>
  </si>
  <si>
    <t>ERROR: El plazo debe ser al menos 1 mes</t>
  </si>
  <si>
    <t>Error Tasa Negativa</t>
  </si>
  <si>
    <t>ERROR: La tasa de interés no puede ser negativa</t>
  </si>
  <si>
    <t>Cuota unica</t>
  </si>
  <si>
    <t>Error plazo negativo</t>
  </si>
  <si>
    <t>ERROR: El plazo no puede ser negativo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</si>
</sst>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\ #,##0;[Red]\-&quot;$&quot;\ #,##0"/>
    <numFmt numFmtId="44" formatCode="_-&quot;$&quot;\ * #,##0.00_-;\-&quot;$&quot;\ * #,##0.00_-;_-&quot;$&quot;\ * &quot;-&quot;??_-;_-@_-"/>
    <numFmt numFmtId="164" formatCode="&quot;$&quot;\ #,##0.00"/>
    <numFmt numFmtId="165" formatCode="&quot;$&quot;\ #,##0"/>
  </numFmts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BFFB7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5" fontId="0" fillId="0" borderId="0" xfId="1" applyNumberFormat="1" applyFont="1" applyAlignment="1">
      <alignment horizontal="center" vertical="center"/>
    </xf>
    <xf numFmtId="165" fontId="0" fillId="0" borderId="0" xfId="1" applyNumberFormat="1" applyFont="1" applyAlignment="1">
      <alignment horizontal="center" vertical="center" wrapText="1"/>
    </xf>
    <xf numFmtId="165" fontId="0" fillId="0" borderId="0" xfId="1" applyNumberFormat="1" applyFont="1"/>
    <xf numFmtId="10" fontId="0" fillId="0" borderId="0" xfId="1" applyNumberFormat="1" applyFont="1" applyAlignment="1">
      <alignment horizontal="center" vertical="center" wrapText="1"/>
    </xf>
    <xf numFmtId="10" fontId="0" fillId="0" borderId="0" xfId="1" applyNumberFormat="1" applyFont="1" applyAlignment="1">
      <alignment wrapText="1"/>
    </xf>
    <xf numFmtId="165" fontId="0" fillId="0" borderId="0" xfId="0" applyNumberFormat="1" applyAlignment="1">
      <alignment horizontal="center" vertical="center" wrapText="1"/>
    </xf>
    <xf numFmtId="165" fontId="0" fillId="0" borderId="0" xfId="0" applyNumberFormat="1"/>
    <xf numFmtId="0" fontId="4" fillId="0" borderId="0" xfId="0" applyFont="1" applyAlignment="1">
      <alignment horizontal="center" vertical="center" wrapText="1"/>
    </xf>
    <xf numFmtId="10" fontId="2" fillId="0" borderId="0" xfId="1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65" fontId="2" fillId="0" borderId="0" xfId="1" applyNumberFormat="1" applyFont="1" applyAlignment="1">
      <alignment horizontal="center" vertical="center" wrapText="1"/>
    </xf>
    <xf numFmtId="6" fontId="0" fillId="0" borderId="0" xfId="1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0" fillId="0" borderId="0" xfId="0" applyNumberFormat="1" applyAlignment="1">
      <alignment wrapText="1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colors>
    <mruColors>
      <color rgb="FFDBFFB7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6"/>
  <sheetViews>
    <sheetView tabSelected="1" zoomScaleNormal="100" workbookViewId="0">
      <pane ySplit="1" topLeftCell="A2" activePane="bottomLeft" state="frozen"/>
      <selection pane="bottomLeft" activeCell="F16" sqref="F16"/>
    </sheetView>
  </sheetViews>
  <sheetFormatPr baseColWidth="10" defaultColWidth="9.140625" defaultRowHeight="15" x14ac:dyDescent="0.25"/>
  <cols>
    <col min="1" max="1" width="2" customWidth="1"/>
    <col min="2" max="2" width="29.7109375" style="2" customWidth="1"/>
    <col min="3" max="3" width="16" style="21" customWidth="1"/>
    <col min="4" max="4" width="22" style="10" customWidth="1"/>
    <col min="5" max="5" width="16" customWidth="1"/>
    <col min="6" max="6" width="35.140625" style="12" customWidth="1"/>
    <col min="7" max="7" width="45" customWidth="1"/>
    <col min="8" max="8" width="25.5703125" style="8" customWidth="1"/>
    <col min="9" max="9" width="20.85546875" style="8" customWidth="1"/>
    <col min="10" max="10" width="33.140625" customWidth="1"/>
    <col min="11" max="11" width="50" customWidth="1"/>
  </cols>
  <sheetData>
    <row r="2" spans="1:10" ht="27" customHeight="1" x14ac:dyDescent="0.25">
      <c r="B2" s="19" t="s">
        <v>0</v>
      </c>
      <c r="C2" s="19"/>
      <c r="D2" s="19"/>
      <c r="E2" s="19"/>
      <c r="F2" s="19"/>
      <c r="G2" s="20" t="s">
        <v>1</v>
      </c>
      <c r="H2" s="20"/>
      <c r="I2" s="20"/>
      <c r="J2" s="20"/>
    </row>
    <row r="3" spans="1:10" ht="30" x14ac:dyDescent="0.25">
      <c r="B3" s="13" t="s">
        <v>2</v>
      </c>
      <c r="C3" s="15" t="s">
        <v>3</v>
      </c>
      <c r="D3" s="14" t="s">
        <v>4</v>
      </c>
      <c r="E3" s="5" t="s">
        <v>5</v>
      </c>
      <c r="F3" s="15" t="s">
        <v>6</v>
      </c>
      <c r="G3" s="5" t="s">
        <v>7</v>
      </c>
      <c r="H3" s="16" t="s">
        <v>8</v>
      </c>
      <c r="I3" s="16" t="s">
        <v>9</v>
      </c>
    </row>
    <row r="4" spans="1:10" ht="32.25" customHeight="1" x14ac:dyDescent="0.25">
      <c r="A4" s="1"/>
      <c r="B4" s="3" t="s">
        <v>10</v>
      </c>
      <c r="C4" s="11">
        <v>10000000</v>
      </c>
      <c r="D4" s="9">
        <v>0.01</v>
      </c>
      <c r="E4" s="3">
        <v>24</v>
      </c>
      <c r="F4" s="11">
        <v>0</v>
      </c>
      <c r="G4" s="18">
        <f>IF(D4=0, C4/E4, C4*(D4/((1+D4)^E4-1)))</f>
        <v>370734.72223264637</v>
      </c>
      <c r="H4" s="6">
        <f>C4-G4*E4</f>
        <v>1102366.6664164867</v>
      </c>
      <c r="I4" s="6">
        <f>C4</f>
        <v>10000000</v>
      </c>
      <c r="J4" s="3"/>
    </row>
    <row r="5" spans="1:10" ht="38.25" customHeight="1" x14ac:dyDescent="0.25">
      <c r="A5" s="1"/>
      <c r="B5" s="3" t="s">
        <v>12</v>
      </c>
      <c r="C5" s="11">
        <v>5000000</v>
      </c>
      <c r="D5" s="9">
        <v>7.4999999999999997E-3</v>
      </c>
      <c r="E5" s="4">
        <v>12</v>
      </c>
      <c r="F5" s="11">
        <v>0</v>
      </c>
      <c r="G5" s="18">
        <f>IF(D5=0, C5/E5, C5*(D5/((1+D5)^E5-1)))</f>
        <v>399757.38384960208</v>
      </c>
      <c r="H5" s="6">
        <f>C5-G5*E5</f>
        <v>202911.39380477555</v>
      </c>
      <c r="I5" s="6">
        <f t="shared" ref="I5:I9" si="0">C5</f>
        <v>5000000</v>
      </c>
      <c r="J5" s="3"/>
    </row>
    <row r="6" spans="1:10" ht="29.25" customHeight="1" x14ac:dyDescent="0.25">
      <c r="A6" s="1"/>
      <c r="B6" s="3" t="s">
        <v>13</v>
      </c>
      <c r="C6" s="11">
        <v>20000000</v>
      </c>
      <c r="D6" s="9">
        <v>8.3000000000000001E-3</v>
      </c>
      <c r="E6" s="4">
        <v>36</v>
      </c>
      <c r="F6" s="11">
        <v>0</v>
      </c>
      <c r="G6" s="18">
        <f>IF(D6=0, C6/E6, C6*(D6/((1+D6)^E6-1)))</f>
        <v>478968.21366591979</v>
      </c>
      <c r="H6" s="6">
        <f>C6-G6*E6</f>
        <v>2757144.3080268875</v>
      </c>
      <c r="I6" s="6">
        <f t="shared" si="0"/>
        <v>20000000</v>
      </c>
      <c r="J6" s="3"/>
    </row>
    <row r="7" spans="1:10" ht="28.5" customHeight="1" x14ac:dyDescent="0.25">
      <c r="A7" s="1"/>
      <c r="B7" s="5" t="s">
        <v>14</v>
      </c>
      <c r="C7" s="11"/>
      <c r="D7" s="9"/>
      <c r="E7" s="4"/>
      <c r="F7" s="11"/>
      <c r="G7" s="18"/>
      <c r="H7" s="6"/>
      <c r="I7" s="6">
        <f t="shared" si="0"/>
        <v>0</v>
      </c>
      <c r="J7" s="3"/>
    </row>
    <row r="8" spans="1:10" ht="29.25" customHeight="1" x14ac:dyDescent="0.25">
      <c r="A8" s="1"/>
      <c r="B8" s="3" t="s">
        <v>15</v>
      </c>
      <c r="C8" s="11">
        <v>10000000</v>
      </c>
      <c r="D8" s="9">
        <v>0</v>
      </c>
      <c r="E8" s="4">
        <v>24</v>
      </c>
      <c r="F8" s="11">
        <v>0</v>
      </c>
      <c r="G8" s="18">
        <f t="shared" ref="G8:G10" si="1">IF(D8=0, C8/E8, C8*(D8/((1+D8)^E8-1)))</f>
        <v>416666.66666666669</v>
      </c>
      <c r="H8" s="6">
        <v>0</v>
      </c>
      <c r="I8" s="6">
        <f t="shared" si="0"/>
        <v>10000000</v>
      </c>
      <c r="J8" s="3"/>
    </row>
    <row r="9" spans="1:10" ht="25.5" customHeight="1" x14ac:dyDescent="0.25">
      <c r="A9" s="1"/>
      <c r="B9" s="3" t="s">
        <v>16</v>
      </c>
      <c r="C9" s="11">
        <v>500000</v>
      </c>
      <c r="D9" s="9">
        <v>0.01</v>
      </c>
      <c r="E9" s="4">
        <v>1</v>
      </c>
      <c r="F9" s="11">
        <v>0</v>
      </c>
      <c r="G9" s="18">
        <f t="shared" si="1"/>
        <v>499999.99999999953</v>
      </c>
      <c r="H9" s="6">
        <f>C9-G9*E9</f>
        <v>4.6566128730773926E-10</v>
      </c>
      <c r="I9" s="6">
        <f t="shared" si="0"/>
        <v>500000</v>
      </c>
      <c r="J9" s="3"/>
    </row>
    <row r="10" spans="1:10" ht="39.75" customHeight="1" x14ac:dyDescent="0.25">
      <c r="A10" s="1"/>
      <c r="B10" s="3" t="s">
        <v>17</v>
      </c>
      <c r="C10" s="11">
        <v>10000000</v>
      </c>
      <c r="D10" s="9">
        <v>0.01</v>
      </c>
      <c r="E10" s="4">
        <v>24</v>
      </c>
      <c r="F10" s="11">
        <v>2000000</v>
      </c>
      <c r="G10" s="18">
        <f t="shared" si="1"/>
        <v>370734.72223264637</v>
      </c>
      <c r="H10" s="7">
        <f>(G10*E10+F10)-C10</f>
        <v>897633.33358351327</v>
      </c>
      <c r="I10" s="17">
        <v>12421937</v>
      </c>
      <c r="J10" s="3"/>
    </row>
    <row r="11" spans="1:10" ht="46.5" customHeight="1" x14ac:dyDescent="0.25">
      <c r="A11" s="1"/>
      <c r="B11" s="3" t="s">
        <v>25</v>
      </c>
      <c r="C11" s="11">
        <v>20000000</v>
      </c>
      <c r="D11" s="9">
        <v>8.3000000000000001E-3</v>
      </c>
      <c r="E11" s="4">
        <v>36</v>
      </c>
      <c r="F11" s="11">
        <v>2500000</v>
      </c>
      <c r="G11" s="18">
        <f>(C11-F11)/(1+D11)^E11</f>
        <v>12995902.063935308</v>
      </c>
      <c r="H11" s="7">
        <f>C11-(G11+F11)</f>
        <v>4504097.9360646922</v>
      </c>
      <c r="I11" s="17">
        <v>23189571</v>
      </c>
      <c r="J11" s="3"/>
    </row>
    <row r="12" spans="1:10" ht="28.5" customHeight="1" x14ac:dyDescent="0.25">
      <c r="A12" s="1"/>
      <c r="B12" s="5" t="s">
        <v>18</v>
      </c>
      <c r="C12" s="11"/>
      <c r="D12" s="9"/>
      <c r="E12" s="4"/>
      <c r="F12" s="11"/>
      <c r="G12" s="4"/>
      <c r="H12" s="6"/>
      <c r="I12" s="6"/>
      <c r="J12" s="3"/>
    </row>
    <row r="13" spans="1:10" ht="30" customHeight="1" x14ac:dyDescent="0.25">
      <c r="A13" s="1"/>
      <c r="B13" s="3" t="s">
        <v>19</v>
      </c>
      <c r="C13" s="11">
        <v>0</v>
      </c>
      <c r="D13" s="9">
        <v>0.01</v>
      </c>
      <c r="E13" s="4">
        <v>24</v>
      </c>
      <c r="F13" s="11" t="s">
        <v>11</v>
      </c>
      <c r="G13" s="4" t="s">
        <v>20</v>
      </c>
      <c r="H13" s="6"/>
      <c r="I13" s="6"/>
      <c r="J13" s="3"/>
    </row>
    <row r="14" spans="1:10" ht="25.5" customHeight="1" x14ac:dyDescent="0.25">
      <c r="A14" s="1"/>
      <c r="B14" s="3" t="s">
        <v>21</v>
      </c>
      <c r="C14" s="11">
        <v>10000000</v>
      </c>
      <c r="D14" s="9">
        <v>0.01</v>
      </c>
      <c r="E14" s="4">
        <v>0</v>
      </c>
      <c r="F14" s="11" t="s">
        <v>11</v>
      </c>
      <c r="G14" s="4" t="s">
        <v>22</v>
      </c>
      <c r="H14" s="6"/>
      <c r="I14" s="6"/>
      <c r="J14" s="3"/>
    </row>
    <row r="15" spans="1:10" ht="30.75" customHeight="1" x14ac:dyDescent="0.25">
      <c r="A15" s="1"/>
      <c r="B15" s="3" t="s">
        <v>23</v>
      </c>
      <c r="C15" s="11">
        <v>10000000</v>
      </c>
      <c r="D15" s="9">
        <v>-0.02</v>
      </c>
      <c r="E15" s="4">
        <v>24</v>
      </c>
      <c r="F15" s="11">
        <v>1000000</v>
      </c>
      <c r="G15" s="3" t="s">
        <v>24</v>
      </c>
      <c r="H15" s="6"/>
      <c r="I15" s="6"/>
      <c r="J15" s="3"/>
    </row>
    <row r="16" spans="1:10" x14ac:dyDescent="0.25">
      <c r="B16" s="2" t="s">
        <v>26</v>
      </c>
      <c r="C16" s="11">
        <v>20000000</v>
      </c>
      <c r="D16" s="9">
        <v>0.01</v>
      </c>
      <c r="E16" s="4">
        <v>-12</v>
      </c>
      <c r="F16" s="22">
        <v>500000</v>
      </c>
      <c r="G16" s="23" t="s">
        <v>27</v>
      </c>
    </row>
  </sheetData>
  <mergeCells count="2">
    <mergeCell ref="B2:F2"/>
    <mergeCell ref="G2:J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 Ahorro Programado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Beatriz Elena Zabala Gallego</cp:lastModifiedBy>
  <dcterms:created xsi:type="dcterms:W3CDTF">2026-02-11T22:37:26Z</dcterms:created>
  <dcterms:modified xsi:type="dcterms:W3CDTF">2026-02-12T23:11:55Z</dcterms:modified>
</cp:coreProperties>
</file>